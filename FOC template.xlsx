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hangc29\Desktop\"/>
    </mc:Choice>
  </mc:AlternateContent>
  <xr:revisionPtr revIDLastSave="0" documentId="8_{B20E4669-36B3-4DB0-95D8-A64E62EEE1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C Application From" sheetId="1" r:id="rId1"/>
    <sheet name="選單總表" sheetId="2" state="hidden" r:id="rId2"/>
    <sheet name="工作表2" sheetId="3" state="hidden" r:id="rId3"/>
  </sheets>
  <definedNames>
    <definedName name="工程師FieldServiceEngineer">選單總表!$B$2:$B$3</definedName>
    <definedName name="申請者">選單總表!$A$2:$A$6</definedName>
    <definedName name="法規RA">選單總表!$F$2</definedName>
    <definedName name="產專ApplicationSpecialist">選單總表!$C$2:$C$4</definedName>
    <definedName name="診斷價值DiagnosticsValueProductOwner">選單總表!$E$2</definedName>
    <definedName name="業務Sales">選單總表!$D$2:$D$3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7" i="1"/>
  <c r="B16" i="1"/>
</calcChain>
</file>

<file path=xl/sharedStrings.xml><?xml version="1.0" encoding="utf-8"?>
<sst xmlns="http://schemas.openxmlformats.org/spreadsheetml/2006/main" count="133" uniqueCount="93">
  <si>
    <t>Roche Diagnostics Ltd.Taiwan</t>
  </si>
  <si>
    <r>
      <rPr>
        <b/>
        <sz val="18"/>
        <color theme="1"/>
        <rFont val="新細明體"/>
        <family val="1"/>
        <charset val="136"/>
      </rPr>
      <t>台灣羅氏醫療診斷設備股份有限公司</t>
    </r>
  </si>
  <si>
    <r>
      <rPr>
        <b/>
        <sz val="18"/>
        <color theme="1"/>
        <rFont val="新細明體"/>
        <family val="1"/>
        <charset val="136"/>
      </rPr>
      <t>無金額</t>
    </r>
    <r>
      <rPr>
        <b/>
        <sz val="18"/>
        <color theme="1"/>
        <rFont val="Imago"/>
      </rPr>
      <t xml:space="preserve"> / FOC</t>
    </r>
  </si>
  <si>
    <r>
      <rPr>
        <b/>
        <sz val="14"/>
        <color theme="1"/>
        <rFont val="新細明體"/>
        <family val="1"/>
        <charset val="136"/>
      </rPr>
      <t>客戶名稱</t>
    </r>
    <r>
      <rPr>
        <b/>
        <sz val="14"/>
        <color theme="1"/>
        <rFont val="Imago"/>
      </rPr>
      <t xml:space="preserve"> : </t>
    </r>
  </si>
  <si>
    <r>
      <rPr>
        <b/>
        <sz val="14"/>
        <color theme="1"/>
        <rFont val="新細明體"/>
        <family val="1"/>
        <charset val="136"/>
      </rPr>
      <t>送貨地址</t>
    </r>
    <r>
      <rPr>
        <b/>
        <sz val="14"/>
        <color theme="1"/>
        <rFont val="Imago"/>
      </rPr>
      <t xml:space="preserve"> :</t>
    </r>
  </si>
  <si>
    <r>
      <rPr>
        <b/>
        <sz val="14"/>
        <color theme="1"/>
        <rFont val="新細明體"/>
        <family val="1"/>
        <charset val="136"/>
      </rPr>
      <t>收貨聯絡人</t>
    </r>
    <r>
      <rPr>
        <b/>
        <sz val="14"/>
        <color theme="1"/>
        <rFont val="Imago"/>
      </rPr>
      <t xml:space="preserve"> :</t>
    </r>
  </si>
  <si>
    <r>
      <rPr>
        <b/>
        <sz val="14"/>
        <color theme="1"/>
        <rFont val="細明體"/>
        <family val="3"/>
        <charset val="136"/>
      </rPr>
      <t>申請者</t>
    </r>
    <r>
      <rPr>
        <b/>
        <sz val="14"/>
        <color theme="1"/>
        <rFont val="Imago"/>
      </rPr>
      <t xml:space="preserve"> Requestor:</t>
    </r>
  </si>
  <si>
    <r>
      <rPr>
        <b/>
        <sz val="14"/>
        <color theme="1"/>
        <rFont val="新細明體"/>
        <family val="1"/>
        <charset val="136"/>
      </rPr>
      <t>備註</t>
    </r>
    <r>
      <rPr>
        <b/>
        <sz val="14"/>
        <color theme="1"/>
        <rFont val="Imago"/>
      </rPr>
      <t xml:space="preserve"> : </t>
    </r>
  </si>
  <si>
    <r>
      <rPr>
        <b/>
        <sz val="14"/>
        <color theme="1"/>
        <rFont val="細明體"/>
        <family val="3"/>
        <charset val="136"/>
      </rPr>
      <t>項目</t>
    </r>
    <r>
      <rPr>
        <b/>
        <sz val="14"/>
        <color theme="1"/>
        <rFont val="Imago"/>
      </rPr>
      <t>Type :</t>
    </r>
  </si>
  <si>
    <r>
      <rPr>
        <b/>
        <sz val="14"/>
        <color theme="1"/>
        <rFont val="細明體"/>
        <family val="3"/>
        <charset val="136"/>
      </rPr>
      <t xml:space="preserve">所需資料
</t>
    </r>
    <r>
      <rPr>
        <b/>
        <sz val="12"/>
        <color theme="1"/>
        <rFont val="Imago"/>
      </rPr>
      <t>Information needed:</t>
    </r>
  </si>
  <si>
    <t>請填寫橘色格子</t>
  </si>
  <si>
    <t>FOC code:</t>
  </si>
  <si>
    <r>
      <rPr>
        <b/>
        <sz val="12"/>
        <color theme="1"/>
        <rFont val="新細明體"/>
        <family val="1"/>
        <charset val="136"/>
      </rPr>
      <t>日期</t>
    </r>
    <r>
      <rPr>
        <b/>
        <sz val="12"/>
        <color theme="1"/>
        <rFont val="Imago"/>
      </rPr>
      <t xml:space="preserve"> : </t>
    </r>
  </si>
  <si>
    <r>
      <rPr>
        <b/>
        <sz val="14"/>
        <color theme="1"/>
        <rFont val="新細明體"/>
        <family val="1"/>
        <charset val="136"/>
      </rPr>
      <t>貨單號碼</t>
    </r>
    <r>
      <rPr>
        <b/>
        <sz val="14"/>
        <color theme="1"/>
        <rFont val="Imago"/>
      </rPr>
      <t xml:space="preserve"> :</t>
    </r>
  </si>
  <si>
    <t>Item code</t>
  </si>
  <si>
    <t>Description</t>
  </si>
  <si>
    <t xml:space="preserve"> Quantity </t>
  </si>
  <si>
    <t>Applicant:</t>
  </si>
  <si>
    <t>Propose Approver:</t>
  </si>
  <si>
    <t>申請者</t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</si>
  <si>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</si>
  <si>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</si>
  <si>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</si>
  <si>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診斷價值DiagnosticsValueProductOwner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</si>
  <si>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</si>
  <si>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工程師</t>
    </r>
    <r>
      <rPr>
        <sz val="11"/>
        <color theme="1"/>
        <rFont val="Imago"/>
      </rPr>
      <t>FieldServiceEngineer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</si>
  <si>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</si>
  <si>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</si>
  <si>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</si>
  <si>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</si>
  <si>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</si>
  <si>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r>
      <rPr>
        <sz val="11"/>
        <color theme="1"/>
        <rFont val="細明體"/>
        <family val="3"/>
        <charset val="136"/>
      </rPr>
      <t>產專</t>
    </r>
    <r>
      <rPr>
        <sz val="11"/>
        <color theme="1"/>
        <rFont val="Imago"/>
      </rPr>
      <t>ApplicationSpecialist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</si>
  <si>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</si>
  <si>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</si>
  <si>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</si>
  <si>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r>
      <rPr>
        <sz val="11"/>
        <color theme="1"/>
        <rFont val="細明體"/>
        <family val="3"/>
        <charset val="136"/>
      </rPr>
      <t>業務</t>
    </r>
    <r>
      <rPr>
        <sz val="11"/>
        <color theme="1"/>
        <rFont val="Imago"/>
      </rPr>
      <t>Sales</t>
    </r>
  </si>
  <si>
    <t>產品換代
Replacement/Channel Filling</t>
  </si>
  <si>
    <r>
      <rPr>
        <sz val="11"/>
        <color theme="1"/>
        <rFont val="細明體"/>
        <family val="3"/>
        <charset val="136"/>
      </rPr>
      <t>法規</t>
    </r>
    <r>
      <rPr>
        <sz val="11"/>
        <color theme="1"/>
        <rFont val="Imago"/>
      </rPr>
      <t>RA</t>
    </r>
  </si>
  <si>
    <r>
      <rPr>
        <sz val="11"/>
        <color theme="1"/>
        <rFont val="細明體"/>
        <family val="3"/>
        <charset val="136"/>
      </rPr>
      <t>裝機搭配試劑</t>
    </r>
    <r>
      <rPr>
        <sz val="11"/>
        <color theme="1"/>
        <rFont val="Imago"/>
      </rPr>
      <t>Installation</t>
    </r>
  </si>
  <si>
    <t>裝機機台 (installation model)</t>
  </si>
  <si>
    <t>F01-E</t>
  </si>
  <si>
    <t>Associate technical service manager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</si>
  <si>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機器</t>
    </r>
    <r>
      <rPr>
        <sz val="11"/>
        <color theme="1"/>
        <rFont val="Imago"/>
      </rPr>
      <t>)</t>
    </r>
    <r>
      <rPr>
        <sz val="11"/>
        <color theme="1"/>
        <rFont val="細明體"/>
        <family val="3"/>
        <charset val="136"/>
      </rPr>
      <t>及保養維修</t>
    </r>
    <r>
      <rPr>
        <sz val="11"/>
        <color theme="1"/>
        <rFont val="Imago"/>
      </rPr>
      <t>Trouble Shooting/Maintenance</t>
    </r>
  </si>
  <si>
    <t>REXIS case number (troubleshooting)
PM (based on PM schedule)</t>
  </si>
  <si>
    <t>F02-E</t>
  </si>
  <si>
    <r>
      <rPr>
        <sz val="11"/>
        <color theme="1"/>
        <rFont val="細明體"/>
        <family val="3"/>
        <charset val="136"/>
      </rPr>
      <t>裝機、平行測試試劑</t>
    </r>
    <r>
      <rPr>
        <sz val="11"/>
        <color theme="1"/>
        <rFont val="Imago"/>
      </rPr>
      <t>Installation/1st customer training</t>
    </r>
  </si>
  <si>
    <t>F01-A</t>
  </si>
  <si>
    <t>Application Manager/Supervisor</t>
  </si>
  <si>
    <r>
      <rPr>
        <sz val="11"/>
        <color theme="1"/>
        <rFont val="細明體"/>
        <family val="3"/>
        <charset val="136"/>
      </rPr>
      <t>故障排除</t>
    </r>
    <r>
      <rPr>
        <sz val="11"/>
        <color theme="1"/>
        <rFont val="Imago"/>
      </rPr>
      <t>/</t>
    </r>
    <r>
      <rPr>
        <sz val="11"/>
        <color theme="1"/>
        <rFont val="細明體"/>
        <family val="3"/>
        <charset val="136"/>
      </rPr>
      <t>品質問題</t>
    </r>
    <r>
      <rPr>
        <sz val="11"/>
        <color theme="1"/>
        <rFont val="Imago"/>
      </rPr>
      <t xml:space="preserve"> (</t>
    </r>
    <r>
      <rPr>
        <sz val="11"/>
        <color theme="1"/>
        <rFont val="細明體"/>
        <family val="3"/>
        <charset val="136"/>
      </rPr>
      <t>試劑</t>
    </r>
    <r>
      <rPr>
        <sz val="11"/>
        <color theme="1"/>
        <rFont val="Imago"/>
      </rPr>
      <t>)Troubleshooting/Quality issue(Reagent)</t>
    </r>
  </si>
  <si>
    <t>Rexis Complaint case / Quality issue: Aurora case number 
/ Other
以上皆需詳細敘述原因 (必寫)</t>
  </si>
  <si>
    <t>F02-A</t>
  </si>
  <si>
    <t>NA</t>
  </si>
  <si>
    <t>F03</t>
  </si>
  <si>
    <r>
      <rPr>
        <sz val="11"/>
        <color theme="1"/>
        <rFont val="細明體"/>
        <family val="3"/>
        <charset val="136"/>
      </rPr>
      <t>合約累積搭贈</t>
    </r>
    <r>
      <rPr>
        <sz val="11"/>
        <color theme="1"/>
        <rFont val="Imago"/>
      </rPr>
      <t>(</t>
    </r>
    <r>
      <rPr>
        <sz val="11"/>
        <color theme="1"/>
        <rFont val="細明體"/>
        <family val="3"/>
        <charset val="136"/>
      </rPr>
      <t>價格已簽核</t>
    </r>
    <r>
      <rPr>
        <sz val="11"/>
        <color theme="1"/>
        <rFont val="Imago"/>
      </rPr>
      <t>)Bonus Buy per Approved Contract</t>
    </r>
  </si>
  <si>
    <t>Contract/quotation/GDC</t>
  </si>
  <si>
    <t>F04</t>
  </si>
  <si>
    <t>Logistics BP review</t>
  </si>
  <si>
    <r>
      <rPr>
        <sz val="11"/>
        <color theme="1"/>
        <rFont val="細明體"/>
        <family val="3"/>
        <charset val="136"/>
      </rPr>
      <t>客戶使用賠償</t>
    </r>
    <r>
      <rPr>
        <sz val="11"/>
        <color theme="1"/>
        <rFont val="Imago"/>
      </rPr>
      <t>Customer compensation</t>
    </r>
  </si>
  <si>
    <t>說明原因</t>
  </si>
  <si>
    <t>F05</t>
  </si>
  <si>
    <t>BAH (by product)</t>
  </si>
  <si>
    <r>
      <rPr>
        <sz val="11"/>
        <color theme="1"/>
        <rFont val="細明體"/>
        <family val="3"/>
        <charset val="136"/>
      </rPr>
      <t>市場推廣</t>
    </r>
    <r>
      <rPr>
        <sz val="11"/>
        <color theme="1"/>
        <rFont val="Imago"/>
      </rPr>
      <t>Marketing promotion</t>
    </r>
  </si>
  <si>
    <t>F06</t>
  </si>
  <si>
    <t>Diagnostics Value Lead*
*1 over 1 approval (if applicant is lead)</t>
  </si>
  <si>
    <r>
      <rPr>
        <sz val="11"/>
        <color theme="1"/>
        <rFont val="Imago"/>
      </rPr>
      <t>RA</t>
    </r>
    <r>
      <rPr>
        <sz val="11"/>
        <color theme="1"/>
        <rFont val="細明體"/>
        <family val="3"/>
        <charset val="136"/>
      </rPr>
      <t>申請</t>
    </r>
    <r>
      <rPr>
        <sz val="11"/>
        <color theme="1"/>
        <rFont val="Imago"/>
      </rPr>
      <t>RA Application</t>
    </r>
  </si>
  <si>
    <t>F07</t>
  </si>
  <si>
    <t>Head of QRA</t>
  </si>
  <si>
    <r>
      <rPr>
        <b/>
        <sz val="12"/>
        <color rgb="FFFFFFFF"/>
        <rFont val="細明體"/>
        <family val="3"/>
        <charset val="136"/>
      </rPr>
      <t>申請者</t>
    </r>
    <r>
      <rPr>
        <b/>
        <sz val="12"/>
        <color rgb="FFFFFFFF"/>
        <rFont val="Calibri"/>
        <family val="2"/>
      </rPr>
      <t xml:space="preserve"> 
Requestor</t>
    </r>
  </si>
  <si>
    <r>
      <rPr>
        <b/>
        <sz val="12"/>
        <color rgb="FFFFFFFF"/>
        <rFont val="細明體"/>
        <family val="3"/>
        <charset val="136"/>
      </rPr>
      <t xml:space="preserve">項目
</t>
    </r>
    <r>
      <rPr>
        <b/>
        <sz val="12"/>
        <color rgb="FFFFFFFF"/>
        <rFont val="Calibri"/>
        <family val="2"/>
      </rPr>
      <t>Type</t>
    </r>
  </si>
  <si>
    <r>
      <rPr>
        <b/>
        <sz val="12"/>
        <color rgb="FFFFFFFF"/>
        <rFont val="細明體"/>
        <family val="3"/>
        <charset val="136"/>
      </rPr>
      <t xml:space="preserve">所需資料
</t>
    </r>
    <r>
      <rPr>
        <b/>
        <sz val="12"/>
        <color rgb="FFFFFFFF"/>
        <rFont val="Calibri"/>
        <family val="2"/>
      </rPr>
      <t>Information needed</t>
    </r>
  </si>
  <si>
    <t>FOC code</t>
  </si>
  <si>
    <t>審核者
Approver</t>
  </si>
  <si>
    <t>工程師 
Field Service Engineer</t>
  </si>
  <si>
    <t>裝機搭配試劑
Installation</t>
  </si>
  <si>
    <t xml:space="preserve">故障排除(機器)及保養維修
Trouble Shooting / Maintenance
</t>
  </si>
  <si>
    <t>產專
Application Specialist</t>
  </si>
  <si>
    <t>裝機、平行測試試劑
Installation/1st customer training</t>
  </si>
  <si>
    <t>Application Manager</t>
  </si>
  <si>
    <t>故障排除/品質問題 (試劑)
Troubleshooting / Quality issue(Reagent)</t>
  </si>
  <si>
    <r>
      <rPr>
        <b/>
        <sz val="12"/>
        <color rgb="FF000000"/>
        <rFont val="Calibri"/>
        <family val="2"/>
      </rPr>
      <t xml:space="preserve">Rexis Complaint case
Quality issue: Aurora case number 
Other
</t>
    </r>
    <r>
      <rPr>
        <b/>
        <sz val="12"/>
        <color rgb="FF000000"/>
        <rFont val="細明體"/>
        <family val="3"/>
        <charset val="136"/>
      </rPr>
      <t>以上皆需詳細敘述原因</t>
    </r>
    <r>
      <rPr>
        <b/>
        <sz val="12"/>
        <color rgb="FF000000"/>
        <rFont val="Calibri"/>
        <family val="2"/>
      </rPr>
      <t xml:space="preserve"> (</t>
    </r>
    <r>
      <rPr>
        <b/>
        <sz val="12"/>
        <color rgb="FF000000"/>
        <rFont val="細明體"/>
        <family val="3"/>
        <charset val="136"/>
      </rPr>
      <t>必寫</t>
    </r>
    <r>
      <rPr>
        <b/>
        <sz val="12"/>
        <color rgb="FF000000"/>
        <rFont val="Calibri"/>
        <family val="2"/>
      </rPr>
      <t>)</t>
    </r>
  </si>
  <si>
    <t>業務
Sales</t>
  </si>
  <si>
    <t>合約累積搭贈(價格已簽核)
Bonus Buy per Approved Contract</t>
  </si>
  <si>
    <t>Logistics</t>
  </si>
  <si>
    <t>客戶使用賠償
Customer compensation</t>
  </si>
  <si>
    <t>BAH</t>
  </si>
  <si>
    <t>診斷價值 
Diagnostics Value</t>
  </si>
  <si>
    <t>市場推廣
Marketing promotion</t>
  </si>
  <si>
    <t>Product Manager</t>
  </si>
  <si>
    <t>法規
RA</t>
  </si>
  <si>
    <t>RA申請 3
RA Application</t>
  </si>
  <si>
    <t>產專ApplicationSpecialist</t>
  </si>
  <si>
    <t>Remark</t>
    <phoneticPr fontId="22" type="noConversion"/>
  </si>
  <si>
    <t>裝機、平行測試試劑Installation/1st customer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</si>
</sst>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sz val="12"/>
      <color theme="1"/>
      <name val="Imago"/>
    </font>
    <font>
      <b/>
      <sz val="18"/>
      <color theme="1"/>
      <name val="Imago"/>
    </font>
    <font>
      <b/>
      <sz val="22"/>
      <color theme="1"/>
      <name val="Imago"/>
    </font>
    <font>
      <b/>
      <sz val="16"/>
      <color theme="1"/>
      <name val="Imago"/>
    </font>
    <font>
      <b/>
      <sz val="14"/>
      <color theme="1"/>
      <name val="Imago"/>
    </font>
    <font>
      <sz val="12"/>
      <name val="Arial"/>
      <family val="2"/>
    </font>
    <font>
      <sz val="12"/>
      <color theme="1"/>
      <name val="MingLiu"/>
      <family val="3"/>
      <charset val="136"/>
    </font>
    <font>
      <b/>
      <sz val="12"/>
      <color theme="1"/>
      <name val="Imago"/>
    </font>
    <font>
      <sz val="12"/>
      <color theme="1"/>
      <name val="Calibri"/>
      <family val="2"/>
    </font>
    <font>
      <sz val="11"/>
      <color theme="1"/>
      <name val="Imago"/>
    </font>
    <font>
      <sz val="11"/>
      <color theme="1"/>
      <name val="MingLiu"/>
      <family val="3"/>
      <charset val="136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8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4"/>
      <color theme="1"/>
      <name val="細明體"/>
      <family val="3"/>
      <charset val="136"/>
    </font>
    <font>
      <b/>
      <sz val="12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b/>
      <sz val="12"/>
      <color rgb="FFFFFFFF"/>
      <name val="細明體"/>
      <family val="3"/>
      <charset val="136"/>
    </font>
    <font>
      <b/>
      <sz val="12"/>
      <color rgb="FF000000"/>
      <name val="細明體"/>
      <family val="3"/>
      <charset val="136"/>
    </font>
    <font>
      <sz val="9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Imago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4472C4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right" vertical="center"/>
    </xf>
    <xf numFmtId="0" fontId="1" fillId="4" borderId="11" xfId="0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5" fillId="2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3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vertical="center"/>
    </xf>
    <xf numFmtId="0" fontId="13" fillId="8" borderId="15" xfId="0" applyFont="1" applyFill="1" applyBorder="1" applyAlignment="1">
      <alignment vertical="center"/>
    </xf>
    <xf numFmtId="0" fontId="13" fillId="9" borderId="14" xfId="0" applyFont="1" applyFill="1" applyBorder="1" applyAlignment="1">
      <alignment vertical="center"/>
    </xf>
    <xf numFmtId="0" fontId="13" fillId="9" borderId="15" xfId="0" applyFont="1" applyFill="1" applyBorder="1" applyAlignment="1">
      <alignment vertical="center"/>
    </xf>
    <xf numFmtId="0" fontId="13" fillId="9" borderId="15" xfId="0" applyFont="1" applyFill="1" applyBorder="1" applyAlignment="1">
      <alignment vertical="center" wrapText="1"/>
    </xf>
    <xf numFmtId="0" fontId="13" fillId="9" borderId="16" xfId="0" applyFont="1" applyFill="1" applyBorder="1" applyAlignment="1">
      <alignment vertical="center"/>
    </xf>
    <xf numFmtId="0" fontId="13" fillId="8" borderId="16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4" borderId="1" xfId="0" applyFont="1" applyFill="1" applyBorder="1" applyAlignment="1">
      <alignment vertical="top" wrapText="1"/>
    </xf>
    <xf numFmtId="0" fontId="5" fillId="0" borderId="0" xfId="0" applyFont="1" applyAlignment="1">
      <alignment horizontal="right" vertical="top"/>
    </xf>
    <xf numFmtId="0" fontId="1" fillId="0" borderId="17" xfId="0" quotePrefix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24" fillId="0" borderId="17" xfId="0" quotePrefix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23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352425</xdr:colOff>
      <xdr:row>1</xdr:row>
      <xdr:rowOff>190500</xdr:rowOff>
    </xdr:from>
    <xdr:ext cx="1123950" cy="466725"/>
    <xdr:pic>
      <xdr:nvPicPr>
        <xdr:cNvPr id="2" name="image1.png" descr="RoLo40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selection activeCell="I17" sqref="I17"/>
    </sheetView>
  </sheetViews>
  <sheetFormatPr defaultColWidth="11.21875" defaultRowHeight="15" customHeight="1"/>
  <cols>
    <col min="1" max="1" width="18.5546875" customWidth="1"/>
    <col min="2" max="2" width="49.6640625" customWidth="1"/>
    <col min="3" max="3" width="21.44140625" customWidth="1"/>
    <col min="4" max="4" width="27.109375" customWidth="1"/>
    <col min="5" max="5" width="1.5546875" customWidth="1"/>
    <col min="6" max="26" width="6.8867187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60" t="s">
        <v>0</v>
      </c>
      <c r="B2" s="52"/>
      <c r="C2" s="5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2"/>
      <c r="B3" s="3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0" t="s">
        <v>1</v>
      </c>
      <c r="B4" s="52"/>
      <c r="C4" s="5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0" t="s">
        <v>2</v>
      </c>
      <c r="B5" s="52"/>
      <c r="C5" s="52"/>
      <c r="D5" s="4"/>
      <c r="E5" s="4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5" t="s">
        <v>3</v>
      </c>
      <c r="B7" s="51"/>
      <c r="C7" s="52"/>
      <c r="D7" s="5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6"/>
      <c r="B8" s="53"/>
      <c r="C8" s="53"/>
      <c r="D8" s="5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5" t="s">
        <v>4</v>
      </c>
      <c r="B9" s="51"/>
      <c r="C9" s="52"/>
      <c r="D9" s="5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6"/>
      <c r="B10" s="53"/>
      <c r="C10" s="53"/>
      <c r="D10" s="5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5" t="s">
        <v>5</v>
      </c>
      <c r="B11" s="51"/>
      <c r="C11" s="52"/>
      <c r="D11" s="5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6"/>
      <c r="B12" s="53"/>
      <c r="C12" s="53"/>
      <c r="D12" s="5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0.5" customHeight="1">
      <c r="A14" s="8" t="s">
        <v>6</v>
      </c>
      <c r="B14" s="9" t="s">
        <v>90</v>
      </c>
      <c r="C14" s="54" t="s">
        <v>7</v>
      </c>
      <c r="D14" s="5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0.5" customHeight="1">
      <c r="A15" s="10" t="s">
        <v>8</v>
      </c>
      <c r="B15" s="9" t="s">
        <v>92</v>
      </c>
      <c r="C15" s="56"/>
      <c r="D15" s="5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4" customHeight="1">
      <c r="A16" s="8" t="s">
        <v>9</v>
      </c>
      <c r="B16" s="11" t="str">
        <f>IF(ISNA(VLOOKUP(B15,選單總表!A10:B18,2,FALSE)),"",VLOOKUP(B15,選單總表!A10:B18,2,FALSE))</f>
        <v>裝機機台 (installation model)</v>
      </c>
      <c r="C16" s="58"/>
      <c r="D16" s="5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>
      <c r="A17" s="1"/>
      <c r="B17" s="12" t="s">
        <v>10</v>
      </c>
      <c r="C17" s="13" t="s">
        <v>11</v>
      </c>
      <c r="D17" s="14" t="str">
        <f>IF(ISNA(VLOOKUP('FOC Application From'!B15,選單總表!A10:C18,3,FALSE)),"",VLOOKUP('FOC Application From'!B15,選單總表!A10:C18,3,FALSE))</f>
        <v>F01-A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>
      <c r="A18" s="15" t="s">
        <v>12</v>
      </c>
      <c r="B18" s="1"/>
      <c r="C18" s="16" t="s">
        <v>13</v>
      </c>
      <c r="D18" s="1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customHeight="1">
      <c r="A19" s="18" t="s">
        <v>14</v>
      </c>
      <c r="B19" s="18" t="s">
        <v>15</v>
      </c>
      <c r="C19" s="18" t="s">
        <v>16</v>
      </c>
      <c r="D19" s="18" t="s">
        <v>91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25" customHeight="1">
      <c r="A20" s="47"/>
      <c r="B20" s="48"/>
      <c r="C20" s="48"/>
      <c r="D20" s="4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customHeight="1">
      <c r="A21" s="47"/>
      <c r="B21" s="48"/>
      <c r="C21" s="48"/>
      <c r="D21" s="4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customHeight="1">
      <c r="A22" s="47"/>
      <c r="B22" s="48"/>
      <c r="C22" s="49"/>
      <c r="D22" s="4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customHeight="1">
      <c r="A23" s="47"/>
      <c r="B23" s="47"/>
      <c r="C23" s="47"/>
      <c r="D23" s="4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25" customHeight="1">
      <c r="A24" s="47"/>
      <c r="B24" s="50"/>
      <c r="C24" s="47"/>
      <c r="D24" s="4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>
      <c r="A25" s="47"/>
      <c r="B25" s="47"/>
      <c r="C25" s="47"/>
      <c r="D25" s="4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customHeight="1">
      <c r="A28" s="46" t="s">
        <v>17</v>
      </c>
      <c r="B28" s="19"/>
      <c r="C28" s="46" t="s">
        <v>18</v>
      </c>
      <c r="D28" s="45" t="str">
        <f>IF(ISNA(VLOOKUP('FOC Application From'!B15,選單總表!A10:D18,4,FALSE)),"",VLOOKUP('FOC Application From'!B15,選單總表!A10:D18,4,FALSE))</f>
        <v>Application Manager/Supervisor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5" customHeight="1">
      <c r="A29" s="1"/>
      <c r="B29" s="20"/>
      <c r="C29" s="1"/>
      <c r="D29" s="2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1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6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8">
    <mergeCell ref="B11:D12"/>
    <mergeCell ref="C14:D14"/>
    <mergeCell ref="C15:D16"/>
    <mergeCell ref="A2:C2"/>
    <mergeCell ref="A4:C4"/>
    <mergeCell ref="A5:C5"/>
    <mergeCell ref="B7:D8"/>
    <mergeCell ref="B9:D10"/>
  </mergeCells>
  <phoneticPr fontId="22" type="noConversion"/>
  <dataValidations count="2">
    <dataValidation type="list" allowBlank="1" showErrorMessage="1" sqref="B14" xr:uid="{00000000-0002-0000-0000-000000000000}">
      <formula1>申請者</formula1>
    </dataValidation>
    <dataValidation type="list" allowBlank="1" showErrorMessage="1" sqref="B15" xr:uid="{00000000-0002-0000-0000-000001000000}">
      <formula1>INDIRECT($B$14)</formula1>
    </dataValidation>
  </dataValidations>
  <printOptions horizontalCentered="1"/>
  <pageMargins left="0.70866141732283472" right="0.70866141732283472" top="0.74803149606299213" bottom="0.47244094488188981" header="0" footer="0"/>
  <pageSetup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1875" defaultRowHeight="15" customHeight="1"/>
  <cols>
    <col min="1" max="1" width="29.88671875" customWidth="1"/>
    <col min="2" max="2" width="39.21875" customWidth="1"/>
    <col min="3" max="3" width="40.33203125" customWidth="1"/>
    <col min="4" max="4" width="32.5546875" customWidth="1"/>
    <col min="5" max="5" width="16.77734375" customWidth="1"/>
    <col min="6" max="6" width="17.77734375" customWidth="1"/>
    <col min="7" max="26" width="6.77734375" customWidth="1"/>
  </cols>
  <sheetData>
    <row r="1" spans="1:26" ht="16.5" customHeight="1">
      <c r="A1" s="21" t="s">
        <v>19</v>
      </c>
      <c r="B1" s="22" t="s">
        <v>20</v>
      </c>
      <c r="C1" s="23" t="s">
        <v>21</v>
      </c>
      <c r="D1" s="23" t="s">
        <v>22</v>
      </c>
      <c r="E1" s="24" t="s">
        <v>23</v>
      </c>
      <c r="F1" s="23" t="s">
        <v>24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6.5" customHeight="1">
      <c r="A2" s="22" t="s">
        <v>25</v>
      </c>
      <c r="B2" s="26" t="s">
        <v>26</v>
      </c>
      <c r="C2" s="26" t="s">
        <v>27</v>
      </c>
      <c r="D2" s="26" t="s">
        <v>28</v>
      </c>
      <c r="E2" s="26" t="s">
        <v>29</v>
      </c>
      <c r="F2" s="26" t="s">
        <v>30</v>
      </c>
    </row>
    <row r="3" spans="1:26" ht="16.5" customHeight="1">
      <c r="A3" s="23" t="s">
        <v>31</v>
      </c>
      <c r="B3" s="27" t="s">
        <v>32</v>
      </c>
      <c r="C3" s="26" t="s">
        <v>33</v>
      </c>
      <c r="D3" s="26" t="s">
        <v>34</v>
      </c>
      <c r="E3" s="26"/>
      <c r="F3" s="26"/>
    </row>
    <row r="4" spans="1:26" ht="16.5" customHeight="1">
      <c r="A4" s="23" t="s">
        <v>35</v>
      </c>
      <c r="B4" s="28"/>
      <c r="C4" s="26" t="s">
        <v>36</v>
      </c>
      <c r="D4" s="28"/>
      <c r="E4" s="28"/>
      <c r="F4" s="28"/>
    </row>
    <row r="5" spans="1:26" ht="16.5" customHeight="1">
      <c r="A5" s="24" t="s">
        <v>23</v>
      </c>
      <c r="B5" s="29"/>
      <c r="C5" s="29"/>
      <c r="D5" s="29"/>
      <c r="E5" s="29"/>
      <c r="F5" s="29"/>
    </row>
    <row r="6" spans="1:26" ht="16.5" customHeight="1">
      <c r="A6" s="23" t="s">
        <v>37</v>
      </c>
      <c r="B6" s="29"/>
      <c r="C6" s="29"/>
      <c r="D6" s="29"/>
      <c r="E6" s="29"/>
      <c r="F6" s="29"/>
    </row>
    <row r="7" spans="1:26" ht="16.5" customHeight="1">
      <c r="A7" s="29"/>
      <c r="B7" s="29"/>
      <c r="C7" s="29"/>
      <c r="D7" s="29"/>
      <c r="E7" s="29"/>
      <c r="F7" s="29"/>
    </row>
    <row r="8" spans="1:26" ht="16.5" customHeight="1">
      <c r="A8" s="29"/>
      <c r="B8" s="29"/>
      <c r="C8" s="29"/>
      <c r="D8" s="29"/>
      <c r="E8" s="29"/>
      <c r="F8" s="29"/>
    </row>
    <row r="9" spans="1:26" ht="16.5" customHeight="1">
      <c r="A9" s="29"/>
      <c r="B9" s="29"/>
      <c r="C9" s="29"/>
      <c r="D9" s="29"/>
      <c r="E9" s="29"/>
      <c r="F9" s="29"/>
    </row>
    <row r="10" spans="1:26" ht="16.5" customHeight="1">
      <c r="A10" s="30" t="s">
        <v>38</v>
      </c>
      <c r="B10" s="31" t="s">
        <v>39</v>
      </c>
      <c r="C10" s="31" t="s">
        <v>40</v>
      </c>
      <c r="D10" s="31" t="s">
        <v>41</v>
      </c>
      <c r="E10" s="29"/>
      <c r="F10" s="29"/>
    </row>
    <row r="11" spans="1:26" ht="16.5" customHeight="1">
      <c r="A11" s="32" t="s">
        <v>42</v>
      </c>
      <c r="B11" s="31" t="s">
        <v>43</v>
      </c>
      <c r="C11" s="31" t="s">
        <v>44</v>
      </c>
      <c r="D11" s="31" t="s">
        <v>41</v>
      </c>
      <c r="E11" s="29"/>
      <c r="F11" s="29"/>
    </row>
    <row r="12" spans="1:26" ht="16.5" customHeight="1">
      <c r="A12" s="30" t="s">
        <v>45</v>
      </c>
      <c r="B12" s="31" t="s">
        <v>39</v>
      </c>
      <c r="C12" s="31" t="s">
        <v>46</v>
      </c>
      <c r="D12" s="31" t="s">
        <v>47</v>
      </c>
      <c r="E12" s="29"/>
      <c r="F12" s="29"/>
    </row>
    <row r="13" spans="1:26" ht="16.5" customHeight="1">
      <c r="A13" s="30" t="s">
        <v>48</v>
      </c>
      <c r="B13" s="33" t="s">
        <v>49</v>
      </c>
      <c r="C13" s="31" t="s">
        <v>50</v>
      </c>
      <c r="D13" s="31" t="s">
        <v>47</v>
      </c>
      <c r="E13" s="29"/>
      <c r="F13" s="29"/>
    </row>
    <row r="14" spans="1:26" ht="16.5" customHeight="1">
      <c r="A14" s="30" t="s">
        <v>36</v>
      </c>
      <c r="B14" s="31" t="s">
        <v>51</v>
      </c>
      <c r="C14" s="31" t="s">
        <v>52</v>
      </c>
      <c r="D14" s="31" t="s">
        <v>47</v>
      </c>
      <c r="E14" s="29"/>
      <c r="F14" s="29"/>
    </row>
    <row r="15" spans="1:26" ht="16.5" customHeight="1">
      <c r="A15" s="30" t="s">
        <v>53</v>
      </c>
      <c r="B15" s="31" t="s">
        <v>54</v>
      </c>
      <c r="C15" s="31" t="s">
        <v>55</v>
      </c>
      <c r="D15" s="31" t="s">
        <v>56</v>
      </c>
      <c r="E15" s="29"/>
      <c r="F15" s="29"/>
    </row>
    <row r="16" spans="1:26" ht="16.5" customHeight="1">
      <c r="A16" s="30" t="s">
        <v>57</v>
      </c>
      <c r="B16" s="31" t="s">
        <v>58</v>
      </c>
      <c r="C16" s="31" t="s">
        <v>59</v>
      </c>
      <c r="D16" s="31" t="s">
        <v>60</v>
      </c>
      <c r="E16" s="29"/>
      <c r="F16" s="29"/>
    </row>
    <row r="17" spans="1:6" ht="16.5" customHeight="1">
      <c r="A17" s="30" t="s">
        <v>61</v>
      </c>
      <c r="B17" s="31" t="s">
        <v>58</v>
      </c>
      <c r="C17" s="31" t="s">
        <v>62</v>
      </c>
      <c r="D17" s="33" t="s">
        <v>63</v>
      </c>
      <c r="E17" s="29"/>
      <c r="F17" s="29"/>
    </row>
    <row r="18" spans="1:6" ht="16.5" customHeight="1">
      <c r="A18" s="30" t="s">
        <v>64</v>
      </c>
      <c r="B18" s="31" t="s">
        <v>58</v>
      </c>
      <c r="C18" s="31" t="s">
        <v>65</v>
      </c>
      <c r="D18" s="31" t="s">
        <v>66</v>
      </c>
      <c r="E18" s="29"/>
      <c r="F18" s="29"/>
    </row>
    <row r="19" spans="1:6" ht="16.5" customHeight="1">
      <c r="A19" s="29"/>
      <c r="B19" s="29"/>
      <c r="C19" s="29"/>
      <c r="D19" s="29"/>
      <c r="E19" s="29"/>
      <c r="F19" s="29"/>
    </row>
    <row r="20" spans="1:6" ht="16.5" customHeight="1">
      <c r="A20" s="29"/>
      <c r="B20" s="29"/>
      <c r="C20" s="29"/>
      <c r="D20" s="29"/>
      <c r="E20" s="29"/>
      <c r="F20" s="29"/>
    </row>
    <row r="21" spans="1:6" ht="16.5" customHeight="1">
      <c r="A21" s="29"/>
      <c r="B21" s="29"/>
      <c r="C21" s="29"/>
      <c r="D21" s="29"/>
      <c r="E21" s="29"/>
      <c r="F21" s="29"/>
    </row>
    <row r="22" spans="1:6" ht="16.5" customHeight="1">
      <c r="A22" s="29"/>
      <c r="B22" s="29"/>
      <c r="C22" s="29"/>
      <c r="D22" s="29"/>
      <c r="E22" s="29"/>
      <c r="F22" s="29"/>
    </row>
    <row r="23" spans="1:6" ht="16.5" customHeight="1"/>
    <row r="24" spans="1:6" ht="16.5" customHeight="1"/>
    <row r="25" spans="1:6" ht="16.5" customHeight="1"/>
    <row r="26" spans="1:6" ht="16.5" customHeight="1"/>
    <row r="27" spans="1:6" ht="16.5" customHeight="1"/>
    <row r="28" spans="1:6" ht="16.5" customHeight="1"/>
    <row r="29" spans="1:6" ht="16.5" customHeight="1"/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1.21875" defaultRowHeight="15" customHeight="1"/>
  <cols>
    <col min="1" max="5" width="15.21875" customWidth="1"/>
    <col min="6" max="26" width="6.77734375" customWidth="1"/>
  </cols>
  <sheetData>
    <row r="1" spans="1:5" ht="16.5" customHeight="1">
      <c r="A1" s="34" t="s">
        <v>67</v>
      </c>
      <c r="B1" s="35" t="s">
        <v>68</v>
      </c>
      <c r="C1" s="35" t="s">
        <v>69</v>
      </c>
      <c r="D1" s="36" t="s">
        <v>70</v>
      </c>
      <c r="E1" s="36" t="s">
        <v>71</v>
      </c>
    </row>
    <row r="2" spans="1:5" ht="16.5" customHeight="1">
      <c r="A2" s="37" t="s">
        <v>72</v>
      </c>
      <c r="B2" s="38" t="s">
        <v>73</v>
      </c>
      <c r="C2" s="38" t="s">
        <v>39</v>
      </c>
      <c r="D2" s="38" t="s">
        <v>40</v>
      </c>
      <c r="E2" s="37" t="s">
        <v>41</v>
      </c>
    </row>
    <row r="3" spans="1:5" ht="16.5" customHeight="1">
      <c r="A3" s="37" t="s">
        <v>72</v>
      </c>
      <c r="B3" s="38" t="s">
        <v>74</v>
      </c>
      <c r="C3" s="38" t="s">
        <v>43</v>
      </c>
      <c r="D3" s="38" t="s">
        <v>44</v>
      </c>
      <c r="E3" s="37" t="s">
        <v>41</v>
      </c>
    </row>
    <row r="4" spans="1:5" ht="16.5" customHeight="1">
      <c r="A4" s="39" t="s">
        <v>75</v>
      </c>
      <c r="B4" s="40" t="s">
        <v>76</v>
      </c>
      <c r="C4" s="40" t="s">
        <v>39</v>
      </c>
      <c r="D4" s="40" t="s">
        <v>46</v>
      </c>
      <c r="E4" s="39" t="s">
        <v>77</v>
      </c>
    </row>
    <row r="5" spans="1:5" ht="16.5" customHeight="1">
      <c r="A5" s="39" t="s">
        <v>75</v>
      </c>
      <c r="B5" s="40" t="s">
        <v>78</v>
      </c>
      <c r="C5" s="41" t="s">
        <v>79</v>
      </c>
      <c r="D5" s="40" t="s">
        <v>50</v>
      </c>
      <c r="E5" s="39" t="s">
        <v>77</v>
      </c>
    </row>
    <row r="6" spans="1:5" ht="16.5" customHeight="1">
      <c r="A6" s="39" t="s">
        <v>75</v>
      </c>
      <c r="B6" s="40" t="s">
        <v>36</v>
      </c>
      <c r="C6" s="40" t="s">
        <v>51</v>
      </c>
      <c r="D6" s="40" t="s">
        <v>52</v>
      </c>
      <c r="E6" s="39" t="s">
        <v>77</v>
      </c>
    </row>
    <row r="7" spans="1:5" ht="16.5" customHeight="1">
      <c r="A7" s="37" t="s">
        <v>80</v>
      </c>
      <c r="B7" s="38" t="s">
        <v>81</v>
      </c>
      <c r="C7" s="38" t="s">
        <v>54</v>
      </c>
      <c r="D7" s="38" t="s">
        <v>55</v>
      </c>
      <c r="E7" s="38" t="s">
        <v>82</v>
      </c>
    </row>
    <row r="8" spans="1:5" ht="16.5" customHeight="1">
      <c r="A8" s="37" t="s">
        <v>80</v>
      </c>
      <c r="B8" s="38" t="s">
        <v>83</v>
      </c>
      <c r="C8" s="38" t="s">
        <v>58</v>
      </c>
      <c r="D8" s="38" t="s">
        <v>59</v>
      </c>
      <c r="E8" s="38" t="s">
        <v>84</v>
      </c>
    </row>
    <row r="9" spans="1:5" ht="16.5" customHeight="1">
      <c r="A9" s="42" t="s">
        <v>85</v>
      </c>
      <c r="B9" s="40" t="s">
        <v>86</v>
      </c>
      <c r="C9" s="40" t="s">
        <v>58</v>
      </c>
      <c r="D9" s="40" t="s">
        <v>62</v>
      </c>
      <c r="E9" s="40" t="s">
        <v>87</v>
      </c>
    </row>
    <row r="10" spans="1:5" ht="16.5" customHeight="1">
      <c r="A10" s="43" t="s">
        <v>88</v>
      </c>
      <c r="B10" s="38" t="s">
        <v>89</v>
      </c>
      <c r="C10" s="38" t="s">
        <v>58</v>
      </c>
      <c r="D10" s="38" t="s">
        <v>65</v>
      </c>
      <c r="E10" s="38" t="s">
        <v>66</v>
      </c>
    </row>
    <row r="11" spans="1:5" ht="16.5" customHeight="1"/>
    <row r="12" spans="1:5" ht="16.5" customHeight="1"/>
    <row r="13" spans="1:5" ht="16.5" customHeight="1"/>
    <row r="14" spans="1:5" ht="16.5" customHeight="1"/>
    <row r="15" spans="1:5" ht="16.5" customHeight="1"/>
    <row r="16" spans="1:5" ht="16.5" customHeight="1">
      <c r="A16" s="44" t="s">
        <v>72</v>
      </c>
    </row>
    <row r="17" spans="1:1" ht="16.5" customHeight="1">
      <c r="A17" s="44" t="s">
        <v>75</v>
      </c>
    </row>
    <row r="18" spans="1:1" ht="16.5" customHeight="1">
      <c r="A18" s="44" t="s">
        <v>80</v>
      </c>
    </row>
    <row r="19" spans="1:1" ht="16.5" customHeight="1">
      <c r="A19" s="44" t="s">
        <v>85</v>
      </c>
    </row>
    <row r="20" spans="1:1" ht="16.5" customHeight="1">
      <c r="A20" s="44" t="s">
        <v>88</v>
      </c>
    </row>
    <row r="21" spans="1:1" ht="16.5" customHeight="1"/>
    <row r="22" spans="1:1" ht="16.5" customHeight="1"/>
    <row r="23" spans="1:1" ht="16.5" customHeight="1"/>
    <row r="24" spans="1:1" ht="16.5" customHeight="1"/>
    <row r="25" spans="1:1" ht="16.5" customHeight="1"/>
    <row r="26" spans="1:1" ht="16.5" customHeight="1"/>
    <row r="27" spans="1:1" ht="16.5" customHeight="1"/>
    <row r="28" spans="1:1" ht="16.5" customHeight="1"/>
    <row r="29" spans="1:1" ht="16.5" customHeight="1"/>
    <row r="30" spans="1:1" ht="16.5" customHeight="1"/>
    <row r="31" spans="1:1" ht="16.5" customHeight="1"/>
    <row r="32" spans="1: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6</vt:i4>
      </vt:variant>
    </vt:vector>
  </HeadingPairs>
  <TitlesOfParts>
    <vt:vector size="9" baseType="lpstr">
      <vt:lpstr>FOC Application From</vt:lpstr>
      <vt:lpstr>選單總表</vt:lpstr>
      <vt:lpstr>工作表2</vt:lpstr>
      <vt:lpstr>工程師FieldServiceEngineer</vt:lpstr>
      <vt:lpstr>申請者</vt:lpstr>
      <vt:lpstr>法規RA</vt:lpstr>
      <vt:lpstr>產專ApplicationSpecialist</vt:lpstr>
      <vt:lpstr>診斷價值DiagnosticsValueProductOwner</vt:lpstr>
      <vt:lpstr>業務Sales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Cholun {DYST~Taipei}</dc:creator>
  <cp:lastModifiedBy>Chang, Cholun {DYNF~TAIPEI}</cp:lastModifiedBy>
  <dcterms:created xsi:type="dcterms:W3CDTF">2021-06-30T14:02:28Z</dcterms:created>
  <dcterms:modified xsi:type="dcterms:W3CDTF">2026-04-09T17:08:03Z</dcterms:modified>
</cp:coreProperties>
</file>